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fiane.AITELAOUAD\dev.cleverlytics\onee\outputs_horizon\horizon_5y\Casablanca-Settat\"/>
    </mc:Choice>
  </mc:AlternateContent>
  <xr:revisionPtr revIDLastSave="0" documentId="13_ncr:1_{C393916F-993F-46D6-84AB-382623CCA9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/>
  <c r="G9" i="1"/>
  <c r="H9" i="1"/>
  <c r="G10" i="1"/>
  <c r="H10" i="1"/>
  <c r="G11" i="1"/>
  <c r="H11" i="1"/>
  <c r="H7" i="1"/>
  <c r="G7" i="1"/>
</calcChain>
</file>

<file path=xl/sharedStrings.xml><?xml version="1.0" encoding="utf-8"?>
<sst xmlns="http://schemas.openxmlformats.org/spreadsheetml/2006/main" count="36" uniqueCount="10">
  <si>
    <t>Region</t>
  </si>
  <si>
    <t>Mode</t>
  </si>
  <si>
    <t>Level</t>
  </si>
  <si>
    <t>Year</t>
  </si>
  <si>
    <t>Predicted_Annual</t>
  </si>
  <si>
    <t>Actual_Annual</t>
  </si>
  <si>
    <t>Casablanca-Settat</t>
  </si>
  <si>
    <t>forward</t>
  </si>
  <si>
    <t>backtest</t>
  </si>
  <si>
    <t>Total_Regional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</si>
</sst>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Sheet1!$D$7:$D$16</c:f>
              <c:numCache>
                <c:formatCode>General</c:formatCode>
                <c:ptCount val="10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</c:numCache>
            </c:numRef>
          </c:xVal>
          <c:yVal>
            <c:numRef>
              <c:f>Sheet1!$E$7:$E$16</c:f>
              <c:numCache>
                <c:formatCode>General</c:formatCode>
                <c:ptCount val="10"/>
                <c:pt idx="0">
                  <c:v>3363570432.8974128</c:v>
                </c:pt>
                <c:pt idx="1">
                  <c:v>3546573623.5146122</c:v>
                </c:pt>
                <c:pt idx="2">
                  <c:v>3752629842.3758569</c:v>
                </c:pt>
                <c:pt idx="3">
                  <c:v>3977602709.2113762</c:v>
                </c:pt>
                <c:pt idx="4">
                  <c:v>4219747546.697989</c:v>
                </c:pt>
                <c:pt idx="5">
                  <c:v>4310069685.6917725</c:v>
                </c:pt>
                <c:pt idx="6">
                  <c:v>4575874058.0585861</c:v>
                </c:pt>
                <c:pt idx="7">
                  <c:v>4858070732.5275831</c:v>
                </c:pt>
                <c:pt idx="8">
                  <c:v>5157670631.4015694</c:v>
                </c:pt>
                <c:pt idx="9">
                  <c:v>5475747021.118784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E-46FA-8F70-3DA1CE45D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23807"/>
        <c:axId val="1365929087"/>
      </c:scatterChart>
      <c:valAx>
        <c:axId val="136592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5929087"/>
        <c:crosses val="autoZero"/>
        <c:crossBetween val="midCat"/>
      </c:valAx>
      <c:valAx>
        <c:axId val="13659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592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94462</xdr:colOff>
      <xdr:row>11</xdr:row>
      <xdr:rowOff>139806</xdr:rowOff>
    </xdr:from>
    <xdr:to>
      <xdr:col>8</xdr:col>
      <xdr:colOff>415636</xdr:colOff>
      <xdr:row>26</xdr:row>
      <xdr:rowOff>143584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2772BB1-6792-4580-B44F-BFB39D43B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9" zoomScale="121" workbookViewId="0">
      <selection activeCell="D24" sqref="D24"/>
    </sheetView>
  </sheetViews>
  <sheetFormatPr baseColWidth="10" defaultColWidth="20.66406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t="s">
        <v>6</v>
      </c>
      <c r="B2" t="s">
        <v>7</v>
      </c>
      <c r="C2" t="s">
        <v>9</v>
      </c>
      <c r="D2">
        <v>2024</v>
      </c>
      <c r="E2">
        <v>4310069685.6917725</v>
      </c>
    </row>
    <row r="3" spans="1:8" x14ac:dyDescent="0.3">
      <c r="A3" t="s">
        <v>6</v>
      </c>
      <c r="B3" t="s">
        <v>7</v>
      </c>
      <c r="C3" t="s">
        <v>9</v>
      </c>
      <c r="D3">
        <v>2025</v>
      </c>
      <c r="E3">
        <v>4575874058.0585861</v>
      </c>
    </row>
    <row r="4" spans="1:8" x14ac:dyDescent="0.3">
      <c r="A4" t="s">
        <v>6</v>
      </c>
      <c r="B4" t="s">
        <v>7</v>
      </c>
      <c r="C4" t="s">
        <v>9</v>
      </c>
      <c r="D4">
        <v>2026</v>
      </c>
      <c r="E4">
        <v>4858070732.5275831</v>
      </c>
    </row>
    <row r="5" spans="1:8" x14ac:dyDescent="0.3">
      <c r="A5" t="s">
        <v>6</v>
      </c>
      <c r="B5" t="s">
        <v>7</v>
      </c>
      <c r="C5" t="s">
        <v>9</v>
      </c>
      <c r="D5">
        <v>2027</v>
      </c>
      <c r="E5">
        <v>5157670631.4015694</v>
      </c>
    </row>
    <row r="6" spans="1:8" x14ac:dyDescent="0.3">
      <c r="A6" t="s">
        <v>6</v>
      </c>
      <c r="B6" t="s">
        <v>7</v>
      </c>
      <c r="C6" t="s">
        <v>9</v>
      </c>
      <c r="D6">
        <v>2028</v>
      </c>
      <c r="E6">
        <v>5475747021.118784</v>
      </c>
    </row>
    <row r="7" spans="1:8" x14ac:dyDescent="0.3">
      <c r="A7" t="s">
        <v>6</v>
      </c>
      <c r="B7" t="s">
        <v>8</v>
      </c>
      <c r="C7" t="s">
        <v>9</v>
      </c>
      <c r="D7">
        <v>2019</v>
      </c>
      <c r="E7">
        <v>3363570432.8974128</v>
      </c>
      <c r="F7">
        <v>3412940516.7399988</v>
      </c>
      <c r="G7">
        <f>E7-F7</f>
        <v>-49370083.84258604</v>
      </c>
      <c r="H7">
        <f>G7/F7*100</f>
        <v>-1.4465556490197424</v>
      </c>
    </row>
    <row r="8" spans="1:8" x14ac:dyDescent="0.3">
      <c r="A8" t="s">
        <v>6</v>
      </c>
      <c r="B8" t="s">
        <v>8</v>
      </c>
      <c r="C8" t="s">
        <v>9</v>
      </c>
      <c r="D8">
        <v>2020</v>
      </c>
      <c r="E8">
        <v>3546573623.5146122</v>
      </c>
      <c r="F8">
        <v>3407329067.809999</v>
      </c>
      <c r="G8">
        <f t="shared" ref="G8:G11" si="0">E8-F8</f>
        <v>139244555.70461321</v>
      </c>
      <c r="H8">
        <f t="shared" ref="H8:H11" si="1">G8/F8*100</f>
        <v>4.0866189597035367</v>
      </c>
    </row>
    <row r="9" spans="1:8" x14ac:dyDescent="0.3">
      <c r="A9" t="s">
        <v>6</v>
      </c>
      <c r="B9" t="s">
        <v>8</v>
      </c>
      <c r="C9" t="s">
        <v>9</v>
      </c>
      <c r="D9">
        <v>2021</v>
      </c>
      <c r="E9">
        <v>3752629842.3758569</v>
      </c>
      <c r="F9">
        <v>3676515354.039999</v>
      </c>
      <c r="G9">
        <f t="shared" si="0"/>
        <v>76114488.335857868</v>
      </c>
      <c r="H9">
        <f t="shared" si="1"/>
        <v>2.0702888742792336</v>
      </c>
    </row>
    <row r="10" spans="1:8" x14ac:dyDescent="0.3">
      <c r="A10" t="s">
        <v>6</v>
      </c>
      <c r="B10" t="s">
        <v>8</v>
      </c>
      <c r="C10" t="s">
        <v>9</v>
      </c>
      <c r="D10">
        <v>2022</v>
      </c>
      <c r="E10">
        <v>3977602709.2113762</v>
      </c>
      <c r="F10">
        <v>3847868524.599998</v>
      </c>
      <c r="G10">
        <f t="shared" si="0"/>
        <v>129734184.61137819</v>
      </c>
      <c r="H10">
        <f t="shared" si="1"/>
        <v>3.3715856917139497</v>
      </c>
    </row>
    <row r="11" spans="1:8" x14ac:dyDescent="0.3">
      <c r="A11" t="s">
        <v>6</v>
      </c>
      <c r="B11" t="s">
        <v>8</v>
      </c>
      <c r="C11" t="s">
        <v>9</v>
      </c>
      <c r="D11">
        <v>2023</v>
      </c>
      <c r="E11">
        <v>4219747546.697989</v>
      </c>
      <c r="F11">
        <v>4059705415.7999978</v>
      </c>
      <c r="G11">
        <f t="shared" si="0"/>
        <v>160042130.89799118</v>
      </c>
      <c r="H11">
        <f t="shared" si="1"/>
        <v>3.9422104440169976</v>
      </c>
    </row>
    <row r="12" spans="1:8" x14ac:dyDescent="0.3">
      <c r="D12">
        <v>2024</v>
      </c>
      <c r="E12">
        <v>4310069685.6917725</v>
      </c>
    </row>
    <row r="13" spans="1:8" x14ac:dyDescent="0.3">
      <c r="D13">
        <v>2025</v>
      </c>
      <c r="E13">
        <v>4575874058.0585861</v>
      </c>
    </row>
    <row r="14" spans="1:8" x14ac:dyDescent="0.3">
      <c r="D14">
        <v>2026</v>
      </c>
      <c r="E14">
        <v>4858070732.5275831</v>
      </c>
    </row>
    <row r="15" spans="1:8" x14ac:dyDescent="0.3">
      <c r="D15">
        <v>2027</v>
      </c>
      <c r="E15">
        <v>5157670631.4015694</v>
      </c>
    </row>
    <row r="16" spans="1:8" x14ac:dyDescent="0.3">
      <c r="D16">
        <v>2028</v>
      </c>
      <c r="E16">
        <v>5475747021.118784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Soufiane Ait El Aouad</cp:lastModifiedBy>
  <dcterms:created xsi:type="dcterms:W3CDTF">2025-11-13T12:04:38Z</dcterms:created>
  <dcterms:modified xsi:type="dcterms:W3CDTF">2025-11-13T13:30:26Z</dcterms:modified>
</cp:coreProperties>
</file>